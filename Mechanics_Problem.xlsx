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chanics Probl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0" fontId="3" fillId="5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0" customWidth="1" min="4" max="4"/>
    <col width="25" customWidth="1" min="5" max="5"/>
  </cols>
  <sheetData>
    <row r="1">
      <c r="A1" s="1" t="inlineStr">
        <is>
          <t>Description</t>
        </is>
      </c>
      <c r="B1" s="1" t="inlineStr">
        <is>
          <t>Symbol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Formula Logic</t>
        </is>
      </c>
    </row>
    <row r="2">
      <c r="A2" s="2" t="inlineStr">
        <is>
          <t>UDL Intensity</t>
        </is>
      </c>
      <c r="B2" s="2" t="inlineStr">
        <is>
          <t>w</t>
        </is>
      </c>
      <c r="C2" s="3" t="n">
        <v>5</v>
      </c>
      <c r="D2" s="2" t="inlineStr">
        <is>
          <t>kN/m</t>
        </is>
      </c>
      <c r="E2" s="2" t="inlineStr">
        <is>
          <t>Input</t>
        </is>
      </c>
    </row>
    <row r="3">
      <c r="A3" s="2" t="inlineStr">
        <is>
          <t>Length of UDL</t>
        </is>
      </c>
      <c r="B3" s="2" t="inlineStr">
        <is>
          <t>L_udl</t>
        </is>
      </c>
      <c r="C3" s="3" t="n">
        <v>4</v>
      </c>
      <c r="D3" s="2" t="inlineStr">
        <is>
          <t>m</t>
        </is>
      </c>
      <c r="E3" s="2" t="inlineStr">
        <is>
          <t>Input</t>
        </is>
      </c>
    </row>
    <row r="4">
      <c r="A4" s="2" t="inlineStr">
        <is>
          <t>Point Load 1</t>
        </is>
      </c>
      <c r="B4" s="2" t="inlineStr">
        <is>
          <t>P1</t>
        </is>
      </c>
      <c r="C4" s="3" t="n">
        <v>25</v>
      </c>
      <c r="D4" s="2" t="inlineStr">
        <is>
          <t>kN</t>
        </is>
      </c>
      <c r="E4" s="2" t="inlineStr">
        <is>
          <t>Input</t>
        </is>
      </c>
    </row>
    <row r="5">
      <c r="A5" s="2" t="inlineStr">
        <is>
          <t>Dist. to P1</t>
        </is>
      </c>
      <c r="B5" s="2" t="inlineStr">
        <is>
          <t>x1</t>
        </is>
      </c>
      <c r="C5" s="3" t="n">
        <v>4</v>
      </c>
      <c r="D5" s="2" t="inlineStr">
        <is>
          <t>m</t>
        </is>
      </c>
      <c r="E5" s="2" t="inlineStr">
        <is>
          <t>Input</t>
        </is>
      </c>
    </row>
    <row r="6">
      <c r="A6" s="2" t="inlineStr">
        <is>
          <t>Inclined Load</t>
        </is>
      </c>
      <c r="B6" s="2" t="inlineStr">
        <is>
          <t>P2</t>
        </is>
      </c>
      <c r="C6" s="3" t="n">
        <v>30</v>
      </c>
      <c r="D6" s="2" t="inlineStr">
        <is>
          <t>kN</t>
        </is>
      </c>
      <c r="E6" s="2" t="inlineStr">
        <is>
          <t>Input</t>
        </is>
      </c>
    </row>
    <row r="7">
      <c r="A7" s="2" t="inlineStr">
        <is>
          <t>Angle</t>
        </is>
      </c>
      <c r="B7" s="2" t="inlineStr">
        <is>
          <t>theta</t>
        </is>
      </c>
      <c r="C7" s="3" t="n">
        <v>40</v>
      </c>
      <c r="D7" s="2" t="inlineStr">
        <is>
          <t>deg</t>
        </is>
      </c>
      <c r="E7" s="2" t="inlineStr">
        <is>
          <t>Input</t>
        </is>
      </c>
    </row>
    <row r="8">
      <c r="A8" s="2" t="inlineStr">
        <is>
          <t>Bracket Height</t>
        </is>
      </c>
      <c r="B8" s="2" t="inlineStr">
        <is>
          <t>h</t>
        </is>
      </c>
      <c r="C8" s="3" t="n">
        <v>1.5</v>
      </c>
      <c r="D8" s="2" t="inlineStr">
        <is>
          <t>m</t>
        </is>
      </c>
      <c r="E8" s="2" t="inlineStr">
        <is>
          <t>Input</t>
        </is>
      </c>
    </row>
    <row r="9">
      <c r="A9" s="2" t="inlineStr">
        <is>
          <t>Bracket Width</t>
        </is>
      </c>
      <c r="B9" s="2" t="inlineStr">
        <is>
          <t>b</t>
        </is>
      </c>
      <c r="C9" s="3" t="n">
        <v>2</v>
      </c>
      <c r="D9" s="2" t="inlineStr">
        <is>
          <t>m</t>
        </is>
      </c>
      <c r="E9" s="2" t="inlineStr">
        <is>
          <t>Input</t>
        </is>
      </c>
    </row>
    <row r="10">
      <c r="A10" s="2" t="inlineStr">
        <is>
          <t>Dist. A to Bracket Base</t>
        </is>
      </c>
      <c r="B10" s="2" t="inlineStr">
        <is>
          <t>d_b</t>
        </is>
      </c>
      <c r="C10" s="3" t="n">
        <v>6</v>
      </c>
      <c r="D10" s="2" t="inlineStr">
        <is>
          <t>m</t>
        </is>
      </c>
      <c r="E10" s="2" t="inlineStr">
        <is>
          <t>Input</t>
        </is>
      </c>
    </row>
    <row r="11">
      <c r="A11" s="2" t="inlineStr">
        <is>
          <t>Dist. Bracket to B</t>
        </is>
      </c>
      <c r="B11" s="2" t="inlineStr">
        <is>
          <t>d_r</t>
        </is>
      </c>
      <c r="C11" s="3" t="n">
        <v>4</v>
      </c>
      <c r="D11" s="2" t="inlineStr">
        <is>
          <t>m</t>
        </is>
      </c>
      <c r="E11" s="2" t="inlineStr">
        <is>
          <t>Input</t>
        </is>
      </c>
    </row>
    <row r="12">
      <c r="A12" s="4" t="inlineStr">
        <is>
          <t>Total Beam Span</t>
        </is>
      </c>
      <c r="B12" s="4" t="inlineStr">
        <is>
          <t>L</t>
        </is>
      </c>
      <c r="C12" s="4">
        <f>B3+B9+B11</f>
        <v/>
      </c>
      <c r="D12" s="4" t="inlineStr">
        <is>
          <t>m</t>
        </is>
      </c>
      <c r="E12" s="4">
        <f> L_udl + b + d_r</f>
        <v/>
      </c>
    </row>
    <row r="14">
      <c r="A14" s="5" t="inlineStr">
        <is>
          <t>STEP 1: LOAD CONVERSION</t>
        </is>
      </c>
    </row>
    <row r="15">
      <c r="A15" s="2" t="inlineStr">
        <is>
          <t>Total UDL Force</t>
        </is>
      </c>
      <c r="B15" s="2" t="inlineStr">
        <is>
          <t>F_udl</t>
        </is>
      </c>
      <c r="C15" s="4">
        <f>C2*C3</f>
        <v/>
      </c>
      <c r="D15" s="2" t="inlineStr">
        <is>
          <t>kN</t>
        </is>
      </c>
      <c r="E15" s="2">
        <f> w * L_udl</f>
        <v/>
      </c>
    </row>
    <row r="16">
      <c r="A16" s="2" t="inlineStr">
        <is>
          <t>Centroid of UDL</t>
        </is>
      </c>
      <c r="B16" s="2" t="inlineStr">
        <is>
          <t>x_udl</t>
        </is>
      </c>
      <c r="C16" s="4">
        <f>C3/2</f>
        <v/>
      </c>
      <c r="D16" s="2" t="inlineStr">
        <is>
          <t>m</t>
        </is>
      </c>
      <c r="E16" s="2">
        <f> L_udl / 2</f>
        <v/>
      </c>
    </row>
    <row r="17">
      <c r="A17" s="2" t="inlineStr">
        <is>
          <t>P2 Horizontal (x)</t>
        </is>
      </c>
      <c r="B17" s="2" t="inlineStr">
        <is>
          <t>P2x</t>
        </is>
      </c>
      <c r="C17" s="4">
        <f>C6*COS(RADIANS(C7))</f>
        <v/>
      </c>
      <c r="D17" s="2" t="inlineStr">
        <is>
          <t>kN</t>
        </is>
      </c>
      <c r="E17" s="2">
        <f> P2 * cos(theta)</f>
        <v/>
      </c>
    </row>
    <row r="18">
      <c r="A18" s="2" t="inlineStr">
        <is>
          <t>P2 Vertical (y)</t>
        </is>
      </c>
      <c r="B18" s="2" t="inlineStr">
        <is>
          <t>P2y</t>
        </is>
      </c>
      <c r="C18" s="4">
        <f>C6*SIN(RADIANS(C7))</f>
        <v/>
      </c>
      <c r="D18" s="2" t="inlineStr">
        <is>
          <t>kN</t>
        </is>
      </c>
      <c r="E18" s="2">
        <f> P2 * sin(theta)</f>
        <v/>
      </c>
    </row>
    <row r="19">
      <c r="A19" s="2" t="inlineStr">
        <is>
          <t>Dist to P2 Vertical</t>
        </is>
      </c>
      <c r="B19" s="2" t="inlineStr">
        <is>
          <t>d_P2y</t>
        </is>
      </c>
      <c r="C19" s="4">
        <f>C10+C9</f>
        <v/>
      </c>
      <c r="D19" s="2" t="inlineStr">
        <is>
          <t>m</t>
        </is>
      </c>
      <c r="E19" s="2">
        <f> d_b + b</f>
        <v/>
      </c>
    </row>
    <row r="20">
      <c r="A20" s="5" t="inlineStr">
        <is>
          <t>STEP 2: HORIZONTAL REACTION</t>
        </is>
      </c>
    </row>
    <row r="21">
      <c r="A21" s="2" t="inlineStr">
        <is>
          <t>Sum Fx = 0</t>
        </is>
      </c>
      <c r="B21" s="2" t="inlineStr">
        <is>
          <t>Ha</t>
        </is>
      </c>
      <c r="C21" s="4">
        <f>C17</f>
        <v/>
      </c>
      <c r="D21" s="2" t="inlineStr">
        <is>
          <t>kN</t>
        </is>
      </c>
      <c r="E21" s="2" t="inlineStr">
        <is>
          <t>Ha = P2x</t>
        </is>
      </c>
    </row>
    <row r="22">
      <c r="A22" s="5" t="inlineStr">
        <is>
          <t>STEP 3: MOMENT EQUILIBRIUM (Sum Ma = 0)</t>
        </is>
      </c>
    </row>
    <row r="23">
      <c r="A23" s="2" t="inlineStr">
        <is>
          <t>Moment UDL (CW)</t>
        </is>
      </c>
      <c r="B23" s="2" t="inlineStr">
        <is>
          <t>M_udl</t>
        </is>
      </c>
      <c r="C23" s="4">
        <f>-(C16*C17)</f>
        <v/>
      </c>
      <c r="D23" s="2" t="inlineStr">
        <is>
          <t>kNm</t>
        </is>
      </c>
      <c r="E23" s="2" t="inlineStr">
        <is>
          <t>-(F_udl * x_udl)</t>
        </is>
      </c>
    </row>
    <row r="24">
      <c r="A24" s="2" t="inlineStr">
        <is>
          <t>Moment P1 (CW)</t>
        </is>
      </c>
      <c r="B24" s="2" t="inlineStr">
        <is>
          <t>M_P1</t>
        </is>
      </c>
      <c r="C24" s="4">
        <f>-(C4*C5)</f>
        <v/>
      </c>
      <c r="D24" s="2" t="inlineStr">
        <is>
          <t>kNm</t>
        </is>
      </c>
      <c r="E24" s="2" t="inlineStr">
        <is>
          <t>-(P1 * x1)</t>
        </is>
      </c>
    </row>
    <row r="25">
      <c r="A25" s="2" t="inlineStr">
        <is>
          <t>Moment P2y (CW)</t>
        </is>
      </c>
      <c r="B25" s="2" t="inlineStr">
        <is>
          <t>M_P2y</t>
        </is>
      </c>
      <c r="C25" s="4">
        <f>-(C19*C20)</f>
        <v/>
      </c>
      <c r="D25" s="2" t="inlineStr">
        <is>
          <t>kNm</t>
        </is>
      </c>
      <c r="E25" s="2" t="inlineStr">
        <is>
          <t>-(P2y * d_P2y)</t>
        </is>
      </c>
    </row>
    <row r="26">
      <c r="A26" s="2" t="inlineStr">
        <is>
          <t>Moment P2x (CCW)</t>
        </is>
      </c>
      <c r="B26" s="2" t="inlineStr">
        <is>
          <t>M_P2x</t>
        </is>
      </c>
      <c r="C26" s="4">
        <f>(C18*C8)</f>
        <v/>
      </c>
      <c r="D26" s="2" t="inlineStr">
        <is>
          <t>kNm</t>
        </is>
      </c>
      <c r="E26" s="2" t="inlineStr">
        <is>
          <t>+(P2x * h)</t>
        </is>
      </c>
    </row>
    <row r="27">
      <c r="A27" s="2" t="inlineStr">
        <is>
          <t>Net Moment of Loads</t>
        </is>
      </c>
      <c r="B27" s="2" t="inlineStr">
        <is>
          <t>M_sum</t>
        </is>
      </c>
      <c r="C27" s="4">
        <f>SUM(C24:C27)</f>
        <v/>
      </c>
      <c r="D27" s="2" t="inlineStr">
        <is>
          <t>kNm</t>
        </is>
      </c>
      <c r="E27" s="2" t="inlineStr">
        <is>
          <t>Sum of Moments</t>
        </is>
      </c>
    </row>
    <row r="28">
      <c r="A28" s="2" t="inlineStr">
        <is>
          <t>Reaction at B</t>
        </is>
      </c>
      <c r="B28" s="2" t="inlineStr">
        <is>
          <t>Rb</t>
        </is>
      </c>
      <c r="C28" s="4">
        <f>-C28/C12</f>
        <v/>
      </c>
      <c r="D28" s="2" t="inlineStr">
        <is>
          <t>kN</t>
        </is>
      </c>
      <c r="E28" s="2" t="inlineStr">
        <is>
          <t>Rb = -(Sum M / L)</t>
        </is>
      </c>
    </row>
    <row r="29">
      <c r="A29" s="5" t="inlineStr">
        <is>
          <t>STEP 4: VERTICAL REACTION</t>
        </is>
      </c>
    </row>
    <row r="30">
      <c r="A30" s="2" t="inlineStr">
        <is>
          <t>Total Downward Load</t>
        </is>
      </c>
      <c r="B30" s="2" t="inlineStr">
        <is>
          <t>F_down</t>
        </is>
      </c>
      <c r="C30" s="4">
        <f>C16+C4+C19</f>
        <v/>
      </c>
      <c r="D30" s="2" t="inlineStr">
        <is>
          <t>kN</t>
        </is>
      </c>
      <c r="E30" s="2" t="inlineStr">
        <is>
          <t>F_udl + P1 + P2y</t>
        </is>
      </c>
    </row>
    <row r="31">
      <c r="A31" s="2" t="inlineStr">
        <is>
          <t>Reaction at A (Vert)</t>
        </is>
      </c>
      <c r="B31" s="2" t="inlineStr">
        <is>
          <t>Va</t>
        </is>
      </c>
      <c r="C31" s="4">
        <f>C31-C29</f>
        <v/>
      </c>
      <c r="D31" s="2" t="inlineStr">
        <is>
          <t>kN</t>
        </is>
      </c>
      <c r="E31" s="2" t="inlineStr">
        <is>
          <t>Va = Total Down - Rb</t>
        </is>
      </c>
    </row>
  </sheetData>
  <mergeCells count="4">
    <mergeCell ref="A22:E22"/>
    <mergeCell ref="A29:E29"/>
    <mergeCell ref="A20:E20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2025-12-08T12:37:07Z</dcterms:created>
  <dcterms:modified xsi:type="dcterms:W3CDTF">2025-12-08T12:37:07Z</dcterms:modified>
</cp:coreProperties>
</file>